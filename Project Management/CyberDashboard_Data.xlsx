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3" autoFilterDateGrouping="1"/>
  </bookViews>
  <sheets>
    <sheet name="Données" sheetId="1" state="visible" r:id="rId1"/>
    <sheet name="Configuration" sheetId="2" state="visible" r:id="rId2"/>
    <sheet name="KPI Dashboard" sheetId="3" state="visible" r:id="rId3"/>
    <sheet name="Journal Alertes" sheetId="4" state="visible" r:id="rId4"/>
    <sheet name="PowerBI — Guide" sheetId="5" state="visible" r:id="rId5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6">
    <numFmt numFmtId="164" formatCode="0.0%"/>
    <numFmt numFmtId="165" formatCode="dd/mm/yyyy\ hh:mm:ss"/>
    <numFmt numFmtId="166" formatCode="#,##0.0"/>
    <numFmt numFmtId="167" formatCode="DD/MM/YYYY HH:MM"/>
    <numFmt numFmtId="168" formatCode="DD/MM/YYYY HH:MM:SS"/>
    <numFmt numFmtId="169" formatCode="yyyy-mm-dd h:mm:ss"/>
  </numFmts>
  <fonts count="31">
    <font>
      <name val="Calibri"/>
      <charset val="1"/>
      <family val="2"/>
      <color theme="1"/>
      <sz val="11"/>
    </font>
    <font>
      <name val="Arial"/>
      <family val="2"/>
      <b val="1"/>
      <color rgb="FFE6EDF3"/>
      <sz val="10"/>
    </font>
    <font>
      <name val="Arial"/>
      <family val="2"/>
      <color rgb="FFF0F6FC"/>
      <sz val="10"/>
    </font>
    <font>
      <name val="Arial"/>
      <family val="2"/>
      <color rgb="FF0D1117"/>
      <sz val="10"/>
    </font>
    <font>
      <name val="Arial"/>
      <family val="2"/>
      <b val="1"/>
      <color rgb="FFE6EDF3"/>
      <sz val="13"/>
    </font>
    <font>
      <name val="Arial"/>
      <family val="2"/>
      <i val="1"/>
      <color rgb="FFE6EDF3"/>
      <sz val="10"/>
    </font>
    <font>
      <name val="Arial"/>
      <family val="2"/>
      <b val="1"/>
      <color rgb="FF0D1117"/>
      <sz val="10"/>
    </font>
    <font>
      <name val="Arial"/>
      <family val="2"/>
      <b val="1"/>
      <color rgb="FF856404"/>
      <sz val="10"/>
    </font>
    <font>
      <name val="Arial"/>
      <family val="2"/>
      <b val="1"/>
      <color rgb="FF842029"/>
      <sz val="10"/>
    </font>
    <font>
      <name val="Arial"/>
      <family val="2"/>
      <b val="1"/>
      <color rgb="FFE6EDF3"/>
      <sz val="12"/>
    </font>
    <font>
      <name val="Arial"/>
      <family val="2"/>
      <b val="1"/>
      <color rgb="FF1F6FEB"/>
      <sz val="10"/>
    </font>
    <font>
      <name val="Arial"/>
      <family val="2"/>
      <i val="1"/>
      <color rgb="FF6C757D"/>
      <sz val="10"/>
    </font>
    <font>
      <name val="Arial"/>
      <family val="2"/>
      <b val="1"/>
      <color rgb="FFE6EDF3"/>
      <sz val="15"/>
    </font>
    <font>
      <name val="Arial"/>
      <family val="2"/>
      <b val="1"/>
      <color rgb="FFE6EDF3"/>
      <sz val="9"/>
    </font>
    <font>
      <name val="Arial"/>
      <family val="2"/>
      <b val="1"/>
      <color rgb="FFE6EDF3"/>
      <sz val="20"/>
    </font>
    <font>
      <name val="Arial"/>
      <family val="2"/>
      <color rgb="FF8B949E"/>
      <sz val="9"/>
    </font>
    <font>
      <name val="Arial"/>
      <family val="2"/>
      <b val="1"/>
      <color rgb="FFE6EDF3"/>
      <sz val="11"/>
    </font>
    <font>
      <name val="Arial"/>
      <family val="2"/>
      <color rgb="FF842029"/>
      <sz val="10"/>
    </font>
    <font>
      <name val="Arial"/>
      <family val="2"/>
      <color rgb="FF856404"/>
      <sz val="10"/>
    </font>
    <font>
      <name val="Arial"/>
      <family val="2"/>
      <b val="1"/>
      <color rgb="FF0D1117"/>
      <sz val="14"/>
    </font>
    <font>
      <name val="Arial"/>
      <family val="2"/>
      <b val="1"/>
      <color rgb="FF842029"/>
      <sz val="10"/>
    </font>
    <font>
      <name val="Arial"/>
      <family val="2"/>
      <color rgb="FF842029"/>
      <sz val="10"/>
    </font>
    <font>
      <name val="Calibri"/>
      <charset val="1"/>
      <family val="2"/>
      <color theme="10"/>
      <sz val="11"/>
      <u val="single"/>
    </font>
    <font>
      <name val="Arial"/>
      <family val="2"/>
      <color rgb="FFE6EDF3"/>
      <sz val="10"/>
    </font>
    <font>
      <name val="Arial"/>
      <family val="2"/>
      <color rgb="FF0D1117"/>
      <sz val="10"/>
    </font>
    <font>
      <name val="Arial"/>
      <color rgb="00E6EDF3"/>
      <sz val="10"/>
    </font>
    <font>
      <name val="Arial"/>
      <color rgb="000D1117"/>
      <sz val="10"/>
    </font>
    <font>
      <name val="Arial"/>
      <b val="1"/>
      <color rgb="00842029"/>
      <sz val="10"/>
    </font>
    <font>
      <name val="Arial"/>
      <color rgb="00842029"/>
      <sz val="10"/>
    </font>
    <font>
      <name val="Arial"/>
      <b val="1"/>
      <color rgb="00856404"/>
      <sz val="10"/>
    </font>
    <font>
      <name val="Arial"/>
      <color rgb="00856404"/>
      <sz val="10"/>
    </font>
  </fonts>
  <fills count="23">
    <fill>
      <patternFill/>
    </fill>
    <fill>
      <patternFill patternType="gray125"/>
    </fill>
    <fill>
      <patternFill patternType="solid">
        <fgColor rgb="FF161B22"/>
        <bgColor rgb="FF0D1117"/>
      </patternFill>
    </fill>
    <fill>
      <patternFill patternType="solid">
        <fgColor rgb="FF0D1117"/>
        <bgColor rgb="FF161B22"/>
      </patternFill>
    </fill>
    <fill>
      <patternFill patternType="solid">
        <fgColor rgb="FFF0F6FC"/>
        <bgColor rgb="FFE8F4FD"/>
      </patternFill>
    </fill>
    <fill>
      <patternFill patternType="solid">
        <fgColor rgb="FF30363D"/>
        <bgColor rgb="FF161B22"/>
      </patternFill>
    </fill>
    <fill>
      <patternFill patternType="solid">
        <fgColor rgb="FF238636"/>
        <bgColor rgb="FF008000"/>
      </patternFill>
    </fill>
    <fill>
      <patternFill patternType="solid">
        <fgColor rgb="FFDDE8F0"/>
        <bgColor rgb="FFE2EBF5"/>
      </patternFill>
    </fill>
    <fill>
      <patternFill patternType="solid">
        <fgColor rgb="FFFFF3CD"/>
        <bgColor rgb="FFF0F6FC"/>
      </patternFill>
    </fill>
    <fill>
      <patternFill patternType="solid">
        <fgColor rgb="FFF8D7DA"/>
        <bgColor rgb="FFDDE8F0"/>
      </patternFill>
    </fill>
    <fill>
      <patternFill patternType="solid">
        <fgColor rgb="FF1F6FEB"/>
        <bgColor rgb="FF0066CC"/>
      </patternFill>
    </fill>
    <fill>
      <patternFill patternType="solid">
        <fgColor rgb="FFE8F4FD"/>
        <bgColor rgb="FFF0F6FC"/>
      </patternFill>
    </fill>
    <fill>
      <patternFill patternType="solid">
        <fgColor rgb="FFD29922"/>
        <bgColor rgb="FFF2C811"/>
      </patternFill>
    </fill>
    <fill>
      <patternFill patternType="solid">
        <fgColor rgb="FFDA3633"/>
        <bgColor rgb="FF993366"/>
      </patternFill>
    </fill>
    <fill>
      <patternFill patternType="solid">
        <fgColor rgb="FFE2EBF5"/>
        <bgColor rgb="FFE6EDF3"/>
      </patternFill>
    </fill>
    <fill>
      <patternFill patternType="solid">
        <fgColor rgb="FFF2C811"/>
        <bgColor rgb="FFD29922"/>
      </patternFill>
    </fill>
    <fill>
      <patternFill patternType="solid">
        <fgColor rgb="FFF8D7DA"/>
      </patternFill>
    </fill>
    <fill>
      <patternFill patternType="solid">
        <fgColor rgb="FF0D1117"/>
      </patternFill>
    </fill>
    <fill>
      <patternFill patternType="solid">
        <fgColor rgb="FFF0F6FC"/>
      </patternFill>
    </fill>
    <fill>
      <patternFill patternType="solid">
        <fgColor rgb="000D1117"/>
      </patternFill>
    </fill>
    <fill>
      <patternFill patternType="solid">
        <fgColor rgb="00F0F6FC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8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 style="thin">
        <color rgb="FF30363D"/>
      </left>
      <right/>
      <top style="thin">
        <color rgb="FF30363D"/>
      </top>
      <bottom style="thin">
        <color rgb="FF30363D"/>
      </bottom>
      <diagonal/>
    </border>
    <border>
      <left/>
      <right/>
      <top style="thin">
        <color rgb="FF30363D"/>
      </top>
      <bottom style="thin">
        <color rgb="FF30363D"/>
      </bottom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/>
      <right/>
      <top style="thin">
        <color rgb="FF30363D"/>
      </top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2">
    <xf numFmtId="0" fontId="0" fillId="0" borderId="0"/>
    <xf numFmtId="0" fontId="22" fillId="0" borderId="0"/>
  </cellStyleXfs>
  <cellXfs count="6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22" fontId="2" fillId="3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3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164" fontId="3" fillId="14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center" vertical="center" wrapText="1"/>
    </xf>
    <xf numFmtId="0" fontId="18" fillId="8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165" fontId="20" fillId="16" borderId="4" applyAlignment="1" pivotButton="0" quotePrefix="0" xfId="0">
      <alignment horizontal="center" vertical="center"/>
    </xf>
    <xf numFmtId="0" fontId="21" fillId="16" borderId="4" applyAlignment="1" pivotButton="0" quotePrefix="0" xfId="0">
      <alignment horizontal="center" vertical="center"/>
    </xf>
    <xf numFmtId="0" fontId="20" fillId="16" borderId="4" applyAlignment="1" pivotButton="0" quotePrefix="0" xfId="0">
      <alignment horizontal="center" vertical="center"/>
    </xf>
    <xf numFmtId="0" fontId="21" fillId="16" borderId="4" applyAlignment="1" pivotButton="0" quotePrefix="0" xfId="0">
      <alignment horizontal="left" vertical="center"/>
    </xf>
    <xf numFmtId="0" fontId="22" fillId="11" borderId="1" applyAlignment="1" pivotButton="0" quotePrefix="0" xfId="1">
      <alignment horizontal="left" vertical="center" wrapText="1"/>
    </xf>
    <xf numFmtId="22" fontId="23" fillId="17" borderId="5" applyAlignment="1" pivotButton="0" quotePrefix="0" xfId="0">
      <alignment horizontal="left" vertical="center"/>
    </xf>
    <xf numFmtId="3" fontId="24" fillId="18" borderId="5" applyAlignment="1" pivotButton="0" quotePrefix="0" xfId="0">
      <alignment horizontal="left" vertical="center"/>
    </xf>
    <xf numFmtId="166" fontId="24" fillId="18" borderId="5" applyAlignment="1" pivotButton="0" quotePrefix="0" xfId="0">
      <alignment horizontal="left" vertical="center"/>
    </xf>
    <xf numFmtId="0" fontId="15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3" fontId="14" fillId="3" borderId="2" applyAlignment="1" pivotButton="0" quotePrefix="0" xfId="0">
      <alignment horizontal="center" vertical="center" wrapText="1"/>
    </xf>
    <xf numFmtId="0" fontId="13" fillId="13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3" fillId="12" borderId="2" applyAlignment="1" pivotButton="0" quotePrefix="0" xfId="0">
      <alignment horizontal="center" vertical="center" wrapText="1"/>
    </xf>
    <xf numFmtId="0" fontId="16" fillId="5" borderId="0" applyAlignment="1" pivotButton="0" quotePrefix="0" xfId="0">
      <alignment horizontal="left" vertical="center" wrapText="1"/>
    </xf>
    <xf numFmtId="166" fontId="14" fillId="3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19" fillId="15" borderId="0" applyAlignment="1" pivotButton="0" quotePrefix="0" xfId="0">
      <alignment horizontal="center" vertical="center" wrapText="1"/>
    </xf>
    <xf numFmtId="167" fontId="25" fillId="19" borderId="7" applyAlignment="1" pivotButton="0" quotePrefix="0" xfId="0">
      <alignment horizontal="left" vertical="center"/>
    </xf>
    <xf numFmtId="3" fontId="26" fillId="20" borderId="7" applyAlignment="1" pivotButton="0" quotePrefix="0" xfId="0">
      <alignment horizontal="left" vertical="center"/>
    </xf>
    <xf numFmtId="166" fontId="26" fillId="20" borderId="7" applyAlignment="1" pivotButton="0" quotePrefix="0" xfId="0">
      <alignment horizontal="left" vertical="center"/>
    </xf>
    <xf numFmtId="167" fontId="25" fillId="19" borderId="7" applyAlignment="1" pivotButton="0" quotePrefix="0" xfId="0">
      <alignment horizontal="left" vertical="center"/>
    </xf>
    <xf numFmtId="168" fontId="27" fillId="21" borderId="7" applyAlignment="1" pivotButton="0" quotePrefix="0" xfId="0">
      <alignment horizontal="center" vertical="center"/>
    </xf>
    <xf numFmtId="0" fontId="28" fillId="21" borderId="7" applyAlignment="1" pivotButton="0" quotePrefix="0" xfId="0">
      <alignment horizontal="center" vertical="center"/>
    </xf>
    <xf numFmtId="0" fontId="27" fillId="21" borderId="7" applyAlignment="1" pivotButton="0" quotePrefix="0" xfId="0">
      <alignment horizontal="center" vertical="center"/>
    </xf>
    <xf numFmtId="0" fontId="28" fillId="21" borderId="7" applyAlignment="1" pivotButton="0" quotePrefix="0" xfId="0">
      <alignment horizontal="left" vertical="center"/>
    </xf>
    <xf numFmtId="168" fontId="29" fillId="22" borderId="7" applyAlignment="1" pivotButton="0" quotePrefix="0" xfId="0">
      <alignment horizontal="center" vertical="center"/>
    </xf>
    <xf numFmtId="0" fontId="30" fillId="22" borderId="7" applyAlignment="1" pivotButton="0" quotePrefix="0" xfId="0">
      <alignment horizontal="center" vertical="center"/>
    </xf>
    <xf numFmtId="0" fontId="29" fillId="22" borderId="7" applyAlignment="1" pivotButton="0" quotePrefix="0" xfId="0">
      <alignment horizontal="center" vertical="center"/>
    </xf>
    <xf numFmtId="0" fontId="30" fillId="22" borderId="7" applyAlignment="1" pivotButton="0" quotePrefix="0" xfId="0">
      <alignment horizontal="left" vertical="center"/>
    </xf>
    <xf numFmtId="168" fontId="27" fillId="21" borderId="7" applyAlignment="1" pivotButton="0" quotePrefix="0" xfId="0">
      <alignment horizontal="center" vertical="center"/>
    </xf>
    <xf numFmtId="168" fontId="29" fillId="22" borderId="7" applyAlignment="1" pivotButton="0" quotePrefix="0" xfId="0">
      <alignment horizontal="center" vertical="center"/>
    </xf>
  </cellXfs>
  <cellStyles count="2">
    <cellStyle name="Normal" xfId="0" builtinId="0"/>
    <cellStyle name="Lien hypertexte" xfId="1" builtinId="8"/>
  </cellStyles>
  <tableStyles count="0" defaultTableStyle="TableStyleMedium2" defaultPivotStyle="PivotStyleLight16"/>
  <colors>
    <indexedColors>
      <rgbColor rgb="FF000000"/>
      <rgbColor rgb="FFF0F6F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008080"/>
      <rgbColor rgb="FFC0C0C0"/>
      <rgbColor rgb="FF6C757D"/>
      <rgbColor rgb="FF9999FF"/>
      <rgbColor rgb="FFDA3633"/>
      <rgbColor rgb="FFFFF3CD"/>
      <rgbColor rgb="FFE8F4FD"/>
      <rgbColor rgb="FF660066"/>
      <rgbColor rgb="FFFF8080"/>
      <rgbColor rgb="FF0066CC"/>
      <rgbColor rgb="FFE6ED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BF5"/>
      <rgbColor rgb="FFDDE8F0"/>
      <rgbColor rgb="FFFFFF99"/>
      <rgbColor rgb="FF99CCFF"/>
      <rgbColor rgb="FFFF99CC"/>
      <rgbColor rgb="FFCC99FF"/>
      <rgbColor rgb="FFF8D7DA"/>
      <rgbColor rgb="FF1F6FEB"/>
      <rgbColor rgb="FF33CCCC"/>
      <rgbColor rgb="FF99CC00"/>
      <rgbColor rgb="FFF2C811"/>
      <rgbColor rgb="FFD29922"/>
      <rgbColor rgb="FFFF6600"/>
      <rgbColor rgb="FF666699"/>
      <rgbColor rgb="FF8B949E"/>
      <rgbColor rgb="FF003366"/>
      <rgbColor rgb="FF238636"/>
      <rgbColor rgb="FF161B22"/>
      <rgbColor rgb="FF0D1117"/>
      <rgbColor rgb="FF842029"/>
      <rgbColor rgb="FF993366"/>
      <rgbColor rgb="FF333399"/>
      <rgbColor rgb="FF3036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manuelkevin4real@gmail.com" TargetMode="External" Id="rId1" /><Relationship Type="http://schemas.openxmlformats.org/officeDocument/2006/relationships/hyperlink" Target="mailto:manuelkevinfouda@icloud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zoomScaleNormal="100" workbookViewId="0">
      <selection activeCell="A1" sqref="A1"/>
    </sheetView>
  </sheetViews>
  <sheetFormatPr baseColWidth="10" defaultColWidth="8.7109375" defaultRowHeight="15"/>
  <cols>
    <col width="20" customWidth="1" style="43" min="1" max="1"/>
    <col width="14" customWidth="1" style="43" min="2" max="2"/>
    <col width="18" customWidth="1" style="43" min="3" max="3"/>
    <col width="22" customWidth="1" style="43" min="4" max="4"/>
    <col width="18" customWidth="1" style="43" min="5" max="5"/>
    <col width="14" customWidth="1" style="43" min="6" max="6"/>
    <col width="20" customWidth="1" style="43" min="7" max="9"/>
    <col width="18" customWidth="1" style="43" min="10" max="10"/>
  </cols>
  <sheetData>
    <row r="1" ht="36" customHeight="1" s="43">
      <c r="A1" s="1" t="inlineStr">
        <is>
          <t>Date &amp; Heure</t>
        </is>
      </c>
      <c r="B1" s="1" t="inlineStr">
        <is>
          <t>Mails reçus</t>
        </is>
      </c>
      <c r="C1" s="1" t="inlineStr">
        <is>
          <t>Requêtes réseau</t>
        </is>
      </c>
      <c r="D1" s="1" t="inlineStr">
        <is>
          <t>Tentatives de connexion</t>
        </is>
      </c>
      <c r="E1" s="1" t="inlineStr">
        <is>
          <t>Fichiers analysés</t>
        </is>
      </c>
      <c r="F1" s="1" t="inlineStr">
        <is>
          <t>Alertes IDS</t>
        </is>
      </c>
      <c r="G1" s="1" t="inlineStr">
        <is>
          <t>Trafic entrant (MB)</t>
        </is>
      </c>
      <c r="H1" s="1" t="inlineStr">
        <is>
          <t>Trafic sortant (MB)</t>
        </is>
      </c>
      <c r="I1" s="1" t="inlineStr">
        <is>
          <t>Connexions refusées</t>
        </is>
      </c>
      <c r="J1" s="1" t="inlineStr">
        <is>
          <t>Processus suspects</t>
        </is>
      </c>
    </row>
    <row r="2" ht="19.5" customHeight="1" s="43">
      <c r="A2" s="2" t="n">
        <v>45748</v>
      </c>
      <c r="B2" s="3" t="n">
        <v>1127</v>
      </c>
      <c r="C2" s="3" t="n">
        <v>5102</v>
      </c>
      <c r="D2" s="3" t="n">
        <v>120</v>
      </c>
      <c r="E2" s="3" t="n">
        <v>34</v>
      </c>
      <c r="F2" s="3" t="n">
        <v>1</v>
      </c>
      <c r="G2" s="3" t="n">
        <v>60.2</v>
      </c>
      <c r="H2" s="3" t="n">
        <v>41.8</v>
      </c>
      <c r="I2" s="3" t="n">
        <v>64</v>
      </c>
      <c r="J2" s="3" t="n">
        <v>0</v>
      </c>
    </row>
    <row r="3" ht="19.5" customHeight="1" s="43">
      <c r="A3" s="2" t="n">
        <v>45749</v>
      </c>
      <c r="B3" s="3" t="n">
        <v>911</v>
      </c>
      <c r="C3" s="3" t="n">
        <v>7069</v>
      </c>
      <c r="D3" s="3" t="n">
        <v>56</v>
      </c>
      <c r="E3" s="3" t="n">
        <v>32</v>
      </c>
      <c r="F3" s="3" t="n">
        <v>5</v>
      </c>
      <c r="G3" s="3" t="n">
        <v>120.1</v>
      </c>
      <c r="H3" s="3" t="n">
        <v>38</v>
      </c>
      <c r="I3" s="3" t="n">
        <v>45</v>
      </c>
      <c r="J3" s="3" t="n">
        <v>1</v>
      </c>
    </row>
    <row r="4" ht="19.5" customHeight="1" s="43">
      <c r="A4" s="2" t="n">
        <v>45750</v>
      </c>
      <c r="B4" s="3" t="n">
        <v>974</v>
      </c>
      <c r="C4" s="3" t="n">
        <v>5636</v>
      </c>
      <c r="D4" s="3" t="n">
        <v>136</v>
      </c>
      <c r="E4" s="3" t="n">
        <v>25</v>
      </c>
      <c r="F4" s="3" t="n">
        <v>3</v>
      </c>
      <c r="G4" s="3" t="n">
        <v>85.90000000000001</v>
      </c>
      <c r="H4" s="3" t="n">
        <v>30.6</v>
      </c>
      <c r="I4" s="3" t="n">
        <v>15</v>
      </c>
      <c r="J4" s="3" t="n">
        <v>3</v>
      </c>
    </row>
    <row r="5" ht="19.5" customHeight="1" s="43">
      <c r="A5" s="2" t="n">
        <v>45751</v>
      </c>
      <c r="B5" s="3" t="n">
        <v>863</v>
      </c>
      <c r="C5" s="3" t="n">
        <v>6550</v>
      </c>
      <c r="D5" s="3" t="n">
        <v>191</v>
      </c>
      <c r="E5" s="3" t="n">
        <v>60</v>
      </c>
      <c r="F5" s="3" t="n">
        <v>4</v>
      </c>
      <c r="G5" s="3" t="n">
        <v>107.7</v>
      </c>
      <c r="H5" s="3" t="n">
        <v>21.8</v>
      </c>
      <c r="I5" s="3" t="n">
        <v>39</v>
      </c>
      <c r="J5" s="3" t="n">
        <v>2</v>
      </c>
    </row>
    <row r="6" ht="19.5" customHeight="1" s="43">
      <c r="A6" s="2" t="n">
        <v>45752</v>
      </c>
      <c r="B6" s="3" t="n">
        <v>919</v>
      </c>
      <c r="C6" s="3" t="n">
        <v>5413</v>
      </c>
      <c r="D6" s="3" t="n">
        <v>121</v>
      </c>
      <c r="E6" s="3" t="n">
        <v>60</v>
      </c>
      <c r="F6" s="3" t="n">
        <v>2</v>
      </c>
      <c r="G6" s="3" t="n">
        <v>87</v>
      </c>
      <c r="H6" s="3" t="n">
        <v>30.7</v>
      </c>
      <c r="I6" s="3" t="n">
        <v>19</v>
      </c>
      <c r="J6" s="3" t="n">
        <v>1</v>
      </c>
    </row>
    <row r="7" ht="19.5" customHeight="1" s="43">
      <c r="A7" s="2" t="n">
        <v>45753</v>
      </c>
      <c r="B7" s="3" t="n">
        <v>1173</v>
      </c>
      <c r="C7" s="3" t="n">
        <v>5669</v>
      </c>
      <c r="D7" s="3" t="n">
        <v>147</v>
      </c>
      <c r="E7" s="3" t="n">
        <v>60</v>
      </c>
      <c r="F7" s="3" t="n">
        <v>5</v>
      </c>
      <c r="G7" s="3" t="n">
        <v>72</v>
      </c>
      <c r="H7" s="3" t="n">
        <v>50.7</v>
      </c>
      <c r="I7" s="3" t="n">
        <v>17</v>
      </c>
      <c r="J7" s="3" t="n">
        <v>0</v>
      </c>
    </row>
    <row r="8" ht="19.5" customHeight="1" s="43">
      <c r="A8" s="2" t="n">
        <v>45754</v>
      </c>
      <c r="B8" s="3" t="n">
        <v>1005</v>
      </c>
      <c r="C8" s="3" t="n">
        <v>5271</v>
      </c>
      <c r="D8" s="3" t="n">
        <v>195</v>
      </c>
      <c r="E8" s="3" t="n">
        <v>40</v>
      </c>
      <c r="F8" s="3" t="n">
        <v>1</v>
      </c>
      <c r="G8" s="3" t="n">
        <v>99.90000000000001</v>
      </c>
      <c r="H8" s="3" t="n">
        <v>45.7</v>
      </c>
      <c r="I8" s="3" t="n">
        <v>28</v>
      </c>
      <c r="J8" s="3" t="n">
        <v>1</v>
      </c>
    </row>
    <row r="9" ht="19.5" customHeight="1" s="43">
      <c r="A9" s="2" t="n">
        <v>45755</v>
      </c>
      <c r="B9" s="3" t="n">
        <v>1181</v>
      </c>
      <c r="C9" s="3" t="n">
        <v>7207</v>
      </c>
      <c r="D9" s="3" t="n">
        <v>199</v>
      </c>
      <c r="E9" s="3" t="n">
        <v>57</v>
      </c>
      <c r="F9" s="3" t="n">
        <v>3</v>
      </c>
      <c r="G9" s="3" t="n">
        <v>71.90000000000001</v>
      </c>
      <c r="H9" s="3" t="n">
        <v>40.4</v>
      </c>
      <c r="I9" s="3" t="n">
        <v>21</v>
      </c>
      <c r="J9" s="3" t="n">
        <v>0</v>
      </c>
    </row>
    <row r="10" ht="19.5" customHeight="1" s="43">
      <c r="A10" s="2" t="n">
        <v>45756</v>
      </c>
      <c r="B10" s="3" t="n">
        <v>878</v>
      </c>
      <c r="C10" s="3" t="n">
        <v>5655</v>
      </c>
      <c r="D10" s="3" t="n">
        <v>158</v>
      </c>
      <c r="E10" s="3" t="n">
        <v>24</v>
      </c>
      <c r="F10" s="3" t="n">
        <v>3</v>
      </c>
      <c r="G10" s="3" t="n">
        <v>109.6</v>
      </c>
      <c r="H10" s="3" t="n">
        <v>30.1</v>
      </c>
      <c r="I10" s="3" t="n">
        <v>80</v>
      </c>
      <c r="J10" s="3" t="n">
        <v>0</v>
      </c>
    </row>
    <row r="11" ht="19.5" customHeight="1" s="43">
      <c r="A11" s="2" t="n">
        <v>45757</v>
      </c>
      <c r="B11" s="3" t="n">
        <v>1074</v>
      </c>
      <c r="C11" s="3" t="n">
        <v>6092</v>
      </c>
      <c r="D11" s="3" t="n">
        <v>137</v>
      </c>
      <c r="E11" s="3" t="n">
        <v>38</v>
      </c>
      <c r="F11" s="3" t="n">
        <v>3</v>
      </c>
      <c r="G11" s="3" t="n">
        <v>95.40000000000001</v>
      </c>
      <c r="H11" s="3" t="n">
        <v>55</v>
      </c>
      <c r="I11" s="3" t="n">
        <v>43</v>
      </c>
      <c r="J11" s="3" t="n">
        <v>1</v>
      </c>
    </row>
    <row r="12" ht="19.5" customHeight="1" s="43">
      <c r="A12" s="2" t="n">
        <v>45758</v>
      </c>
      <c r="B12" s="3" t="n">
        <v>854</v>
      </c>
      <c r="C12" s="3" t="n">
        <v>7561</v>
      </c>
      <c r="D12" s="3" t="n">
        <v>179</v>
      </c>
      <c r="E12" s="3" t="n">
        <v>32</v>
      </c>
      <c r="F12" s="3" t="n">
        <v>1</v>
      </c>
      <c r="G12" s="3" t="n">
        <v>126.3</v>
      </c>
      <c r="H12" s="3" t="n">
        <v>51.1</v>
      </c>
      <c r="I12" s="3" t="n">
        <v>77</v>
      </c>
      <c r="J12" s="3" t="n">
        <v>2</v>
      </c>
    </row>
    <row r="13" ht="19.5" customHeight="1" s="43">
      <c r="A13" s="2" t="n">
        <v>45759</v>
      </c>
      <c r="B13" s="3" t="n">
        <v>809</v>
      </c>
      <c r="C13" s="3" t="n">
        <v>6486</v>
      </c>
      <c r="D13" s="3" t="n">
        <v>128</v>
      </c>
      <c r="E13" s="3" t="n">
        <v>23</v>
      </c>
      <c r="F13" s="3" t="n">
        <v>1</v>
      </c>
      <c r="G13" s="3" t="n">
        <v>144.7</v>
      </c>
      <c r="H13" s="3" t="n">
        <v>39.4</v>
      </c>
      <c r="I13" s="3" t="n">
        <v>18</v>
      </c>
      <c r="J13" s="3" t="n">
        <v>1</v>
      </c>
    </row>
    <row r="14" ht="19.5" customHeight="1" s="43">
      <c r="A14" s="2" t="n">
        <v>45760</v>
      </c>
      <c r="B14" s="3" t="n">
        <v>1137</v>
      </c>
      <c r="C14" s="3" t="n">
        <v>7251</v>
      </c>
      <c r="D14" s="3" t="n">
        <v>117</v>
      </c>
      <c r="E14" s="3" t="n">
        <v>58</v>
      </c>
      <c r="F14" s="3" t="n">
        <v>3</v>
      </c>
      <c r="G14" s="3" t="n">
        <v>142.9</v>
      </c>
      <c r="H14" s="3" t="n">
        <v>47.6</v>
      </c>
      <c r="I14" s="3" t="n">
        <v>49</v>
      </c>
      <c r="J14" s="3" t="n">
        <v>2</v>
      </c>
    </row>
    <row r="15" ht="19.5" customHeight="1" s="43">
      <c r="A15" s="2" t="n">
        <v>45761</v>
      </c>
      <c r="B15" s="3" t="n">
        <v>1064</v>
      </c>
      <c r="C15" s="3" t="n">
        <v>5495</v>
      </c>
      <c r="D15" s="3" t="n">
        <v>107</v>
      </c>
      <c r="E15" s="3" t="n">
        <v>41</v>
      </c>
      <c r="F15" s="3" t="n">
        <v>0</v>
      </c>
      <c r="G15" s="3" t="n">
        <v>105.4</v>
      </c>
      <c r="H15" s="3" t="n">
        <v>20.3</v>
      </c>
      <c r="I15" s="3" t="n">
        <v>17</v>
      </c>
      <c r="J15" s="3" t="n">
        <v>0</v>
      </c>
    </row>
    <row r="16" ht="19.5" customHeight="1" s="43">
      <c r="A16" s="2" t="n">
        <v>45762</v>
      </c>
      <c r="B16" s="3" t="n">
        <v>969</v>
      </c>
      <c r="C16" s="3" t="n">
        <v>7105</v>
      </c>
      <c r="D16" s="3" t="n">
        <v>121</v>
      </c>
      <c r="E16" s="3" t="n">
        <v>51</v>
      </c>
      <c r="F16" s="3" t="n">
        <v>1</v>
      </c>
      <c r="G16" s="3" t="n">
        <v>63.2</v>
      </c>
      <c r="H16" s="3" t="n">
        <v>42.8</v>
      </c>
      <c r="I16" s="3" t="n">
        <v>70</v>
      </c>
      <c r="J16" s="3" t="n">
        <v>3</v>
      </c>
    </row>
    <row r="17" ht="19.5" customHeight="1" s="43">
      <c r="A17" s="2" t="n">
        <v>45763</v>
      </c>
      <c r="B17" s="3" t="n">
        <v>897</v>
      </c>
      <c r="C17" s="3" t="n">
        <v>5397</v>
      </c>
      <c r="D17" s="3" t="n">
        <v>160</v>
      </c>
      <c r="E17" s="3" t="n">
        <v>47</v>
      </c>
      <c r="F17" s="3" t="n">
        <v>3</v>
      </c>
      <c r="G17" s="3" t="n">
        <v>136.4</v>
      </c>
      <c r="H17" s="3" t="n">
        <v>46.1</v>
      </c>
      <c r="I17" s="3" t="n">
        <v>22</v>
      </c>
      <c r="J17" s="3" t="n">
        <v>3</v>
      </c>
    </row>
    <row r="18" ht="19.5" customHeight="1" s="43">
      <c r="A18" s="2" t="n">
        <v>45764</v>
      </c>
      <c r="B18" s="3" t="n">
        <v>855</v>
      </c>
      <c r="C18" s="3" t="n">
        <v>5784</v>
      </c>
      <c r="D18" s="3" t="n">
        <v>187</v>
      </c>
      <c r="E18" s="3" t="n">
        <v>28</v>
      </c>
      <c r="F18" s="3" t="n">
        <v>3</v>
      </c>
      <c r="G18" s="3" t="n">
        <v>77.90000000000001</v>
      </c>
      <c r="H18" s="3" t="n">
        <v>56.9</v>
      </c>
      <c r="I18" s="3" t="n">
        <v>66</v>
      </c>
      <c r="J18" s="3" t="n">
        <v>0</v>
      </c>
    </row>
    <row r="19" ht="19.5" customHeight="1" s="43">
      <c r="A19" s="2" t="n">
        <v>45765</v>
      </c>
      <c r="B19" s="3" t="n">
        <v>1133</v>
      </c>
      <c r="C19" s="3" t="n">
        <v>5060</v>
      </c>
      <c r="D19" s="3" t="n">
        <v>110</v>
      </c>
      <c r="E19" s="3" t="n">
        <v>46</v>
      </c>
      <c r="F19" s="3" t="n">
        <v>3</v>
      </c>
      <c r="G19" s="3" t="n">
        <v>71.40000000000001</v>
      </c>
      <c r="H19" s="3" t="n">
        <v>22.3</v>
      </c>
      <c r="I19" s="3" t="n">
        <v>58</v>
      </c>
      <c r="J19" s="3" t="n">
        <v>3</v>
      </c>
    </row>
    <row r="20" ht="19.5" customHeight="1" s="43">
      <c r="A20" s="2" t="n">
        <v>45766</v>
      </c>
      <c r="B20" s="3" t="n">
        <v>1032</v>
      </c>
      <c r="C20" s="3" t="n">
        <v>6732</v>
      </c>
      <c r="D20" s="3" t="n">
        <v>192</v>
      </c>
      <c r="E20" s="3" t="n">
        <v>51</v>
      </c>
      <c r="F20" s="3" t="n">
        <v>1</v>
      </c>
      <c r="G20" s="3" t="n">
        <v>79.7</v>
      </c>
      <c r="H20" s="3" t="n">
        <v>43.2</v>
      </c>
      <c r="I20" s="3" t="n">
        <v>79</v>
      </c>
      <c r="J20" s="3" t="n">
        <v>2</v>
      </c>
    </row>
    <row r="21" ht="19.5" customHeight="1" s="43">
      <c r="A21" s="2" t="n">
        <v>45767</v>
      </c>
      <c r="B21" s="3" t="n">
        <v>825</v>
      </c>
      <c r="C21" s="3" t="n">
        <v>6952</v>
      </c>
      <c r="D21" s="3" t="n">
        <v>185</v>
      </c>
      <c r="E21" s="3" t="n">
        <v>23</v>
      </c>
      <c r="F21" s="3" t="n">
        <v>4</v>
      </c>
      <c r="G21" s="3" t="n">
        <v>135.1</v>
      </c>
      <c r="H21" s="3" t="n">
        <v>22.7</v>
      </c>
      <c r="I21" s="3" t="n">
        <v>40</v>
      </c>
      <c r="J21" s="3" t="n">
        <v>0</v>
      </c>
    </row>
    <row r="22" ht="19.5" customHeight="1" s="43">
      <c r="A22" s="2" t="n">
        <v>45768</v>
      </c>
      <c r="B22" s="3" t="n">
        <v>4111</v>
      </c>
      <c r="C22" s="3" t="n">
        <v>23086</v>
      </c>
      <c r="D22" s="3" t="n">
        <v>999</v>
      </c>
      <c r="E22" s="3" t="n">
        <v>57</v>
      </c>
      <c r="F22" s="3" t="n">
        <v>67</v>
      </c>
      <c r="G22" s="3" t="n">
        <v>585.9</v>
      </c>
      <c r="H22" s="3" t="n">
        <v>46.8</v>
      </c>
      <c r="I22" s="3" t="n">
        <v>372</v>
      </c>
      <c r="J22" s="3" t="n">
        <v>13</v>
      </c>
    </row>
    <row r="23" ht="19.5" customHeight="1" s="43">
      <c r="A23" s="2" t="n">
        <v>45769</v>
      </c>
      <c r="B23" s="3" t="n">
        <v>867</v>
      </c>
      <c r="C23" s="3" t="n">
        <v>7643</v>
      </c>
      <c r="D23" s="3" t="n">
        <v>167</v>
      </c>
      <c r="E23" s="3" t="n">
        <v>24</v>
      </c>
      <c r="F23" s="3" t="n">
        <v>0</v>
      </c>
      <c r="G23" s="3" t="n">
        <v>112.1</v>
      </c>
      <c r="H23" s="3" t="n">
        <v>24</v>
      </c>
      <c r="I23" s="3" t="n">
        <v>78</v>
      </c>
      <c r="J23" s="3" t="n">
        <v>2</v>
      </c>
    </row>
    <row r="24" ht="19.5" customHeight="1" s="43">
      <c r="A24" s="2" t="n">
        <v>45770</v>
      </c>
      <c r="B24" s="3" t="n">
        <v>978</v>
      </c>
      <c r="C24" s="3" t="n">
        <v>5281</v>
      </c>
      <c r="D24" s="3" t="n">
        <v>112</v>
      </c>
      <c r="E24" s="3" t="n">
        <v>38</v>
      </c>
      <c r="F24" s="3" t="n">
        <v>1</v>
      </c>
      <c r="G24" s="3" t="n">
        <v>133.4</v>
      </c>
      <c r="H24" s="3" t="n">
        <v>44.5</v>
      </c>
      <c r="I24" s="3" t="n">
        <v>77</v>
      </c>
      <c r="J24" s="3" t="n">
        <v>2</v>
      </c>
    </row>
    <row r="25" ht="19.5" customHeight="1" s="43">
      <c r="A25" s="2" t="n">
        <v>45771</v>
      </c>
      <c r="B25" s="3" t="n">
        <v>853</v>
      </c>
      <c r="C25" s="3" t="n">
        <v>5550</v>
      </c>
      <c r="D25" s="3" t="n">
        <v>79</v>
      </c>
      <c r="E25" s="3" t="n">
        <v>26</v>
      </c>
      <c r="F25" s="3" t="n">
        <v>5</v>
      </c>
      <c r="G25" s="3" t="n">
        <v>65.5</v>
      </c>
      <c r="H25" s="3" t="n">
        <v>28.4</v>
      </c>
      <c r="I25" s="3" t="n">
        <v>53</v>
      </c>
      <c r="J25" s="3" t="n">
        <v>2</v>
      </c>
    </row>
    <row r="26" ht="19.5" customHeight="1" s="43">
      <c r="A26" s="2" t="n">
        <v>45772</v>
      </c>
      <c r="B26" s="3" t="n">
        <v>1050</v>
      </c>
      <c r="C26" s="3" t="n">
        <v>5208</v>
      </c>
      <c r="D26" s="3" t="n">
        <v>158</v>
      </c>
      <c r="E26" s="3" t="n">
        <v>37</v>
      </c>
      <c r="F26" s="3" t="n">
        <v>0</v>
      </c>
      <c r="G26" s="3" t="n">
        <v>83.40000000000001</v>
      </c>
      <c r="H26" s="3" t="n">
        <v>59.2</v>
      </c>
      <c r="I26" s="3" t="n">
        <v>30</v>
      </c>
      <c r="J26" s="3" t="n">
        <v>3</v>
      </c>
    </row>
    <row r="27" ht="19.5" customHeight="1" s="43">
      <c r="A27" s="2" t="n">
        <v>45773</v>
      </c>
      <c r="B27" s="3" t="n">
        <v>1161</v>
      </c>
      <c r="C27" s="3" t="n">
        <v>7297</v>
      </c>
      <c r="D27" s="3" t="n">
        <v>78</v>
      </c>
      <c r="E27" s="3" t="n">
        <v>29</v>
      </c>
      <c r="F27" s="3" t="n">
        <v>4</v>
      </c>
      <c r="G27" s="3" t="n">
        <v>133.5</v>
      </c>
      <c r="H27" s="3" t="n">
        <v>25.9</v>
      </c>
      <c r="I27" s="3" t="n">
        <v>26</v>
      </c>
      <c r="J27" s="3" t="n">
        <v>2</v>
      </c>
    </row>
    <row r="28" ht="19.5" customHeight="1" s="43">
      <c r="A28" s="2" t="n">
        <v>45774</v>
      </c>
      <c r="B28" s="3" t="n">
        <v>820</v>
      </c>
      <c r="C28" s="3" t="n">
        <v>6465</v>
      </c>
      <c r="D28" s="3" t="n">
        <v>113</v>
      </c>
      <c r="E28" s="3" t="n">
        <v>26</v>
      </c>
      <c r="F28" s="3" t="n">
        <v>2</v>
      </c>
      <c r="G28" s="3" t="n">
        <v>106</v>
      </c>
      <c r="H28" s="3" t="n">
        <v>59</v>
      </c>
      <c r="I28" s="3" t="n">
        <v>29</v>
      </c>
      <c r="J28" s="3" t="n">
        <v>1</v>
      </c>
    </row>
    <row r="29" ht="19.5" customHeight="1" s="43">
      <c r="A29" s="2" t="n">
        <v>45775</v>
      </c>
      <c r="B29" s="3" t="n">
        <v>1011</v>
      </c>
      <c r="C29" s="3" t="n">
        <v>5734</v>
      </c>
      <c r="D29" s="3" t="n">
        <v>135</v>
      </c>
      <c r="E29" s="3" t="n">
        <v>46</v>
      </c>
      <c r="F29" s="3" t="n">
        <v>5</v>
      </c>
      <c r="G29" s="3" t="n">
        <v>131.1</v>
      </c>
      <c r="H29" s="3" t="n">
        <v>51.5</v>
      </c>
      <c r="I29" s="3" t="n">
        <v>23</v>
      </c>
      <c r="J29" s="3" t="n">
        <v>0</v>
      </c>
    </row>
    <row r="30" ht="19.5" customHeight="1" s="43">
      <c r="A30" s="2" t="n">
        <v>45776</v>
      </c>
      <c r="B30" s="3" t="n">
        <v>913</v>
      </c>
      <c r="C30" s="3" t="n">
        <v>6885</v>
      </c>
      <c r="D30" s="3" t="n">
        <v>128</v>
      </c>
      <c r="E30" s="3" t="n">
        <v>34</v>
      </c>
      <c r="F30" s="3" t="n">
        <v>1</v>
      </c>
      <c r="G30" s="3" t="n">
        <v>116</v>
      </c>
      <c r="H30" s="3" t="n">
        <v>31.1</v>
      </c>
      <c r="I30" s="3" t="n">
        <v>18</v>
      </c>
      <c r="J30" s="3" t="n">
        <v>2</v>
      </c>
    </row>
    <row r="31" ht="19.5" customHeight="1" s="43">
      <c r="A31" s="2" t="n">
        <v>45777</v>
      </c>
      <c r="B31" s="3" t="n">
        <v>912</v>
      </c>
      <c r="C31" s="3" t="n">
        <v>6834</v>
      </c>
      <c r="D31" s="3" t="n">
        <v>187</v>
      </c>
      <c r="E31" s="3" t="n">
        <v>21</v>
      </c>
      <c r="F31" s="3" t="n">
        <v>0</v>
      </c>
      <c r="G31" s="3" t="n">
        <v>67.90000000000001</v>
      </c>
      <c r="H31" s="3" t="n">
        <v>30.6</v>
      </c>
      <c r="I31" s="3" t="n">
        <v>23</v>
      </c>
      <c r="J31" s="3" t="n">
        <v>3</v>
      </c>
    </row>
    <row r="32" ht="20.1" customHeight="1" s="43">
      <c r="A32" s="34" t="n">
        <v>45777.04166666666</v>
      </c>
      <c r="B32" s="35" t="n">
        <v>106</v>
      </c>
      <c r="C32" s="35" t="n">
        <v>654</v>
      </c>
      <c r="D32" s="35" t="n">
        <v>13</v>
      </c>
      <c r="E32" s="35" t="n">
        <v>4</v>
      </c>
      <c r="F32" s="35" t="n">
        <v>0</v>
      </c>
      <c r="G32" s="36" t="n">
        <v>9.6</v>
      </c>
      <c r="H32" s="36" t="n">
        <v>3.1</v>
      </c>
      <c r="I32" s="35" t="n">
        <v>6</v>
      </c>
      <c r="J32" s="35" t="n">
        <v>0</v>
      </c>
    </row>
    <row r="33" ht="20.1" customHeight="1" s="43">
      <c r="A33" s="34" t="n">
        <v>45777.08333333334</v>
      </c>
      <c r="B33" s="35" t="n">
        <v>78</v>
      </c>
      <c r="C33" s="35" t="n">
        <v>590</v>
      </c>
      <c r="D33" s="35" t="n">
        <v>12</v>
      </c>
      <c r="E33" s="35" t="n">
        <v>4</v>
      </c>
      <c r="F33" s="35" t="n">
        <v>0</v>
      </c>
      <c r="G33" s="36" t="n">
        <v>7.1</v>
      </c>
      <c r="H33" s="36" t="n">
        <v>2.6</v>
      </c>
      <c r="I33" s="35" t="n">
        <v>4</v>
      </c>
      <c r="J33" s="35" t="n">
        <v>0</v>
      </c>
    </row>
    <row r="34" ht="20.1" customHeight="1" s="43">
      <c r="A34" s="34" t="n">
        <v>45777.125</v>
      </c>
      <c r="B34" s="35" t="n">
        <v>89</v>
      </c>
      <c r="C34" s="35" t="n">
        <v>537</v>
      </c>
      <c r="D34" s="35" t="n">
        <v>10</v>
      </c>
      <c r="E34" s="35" t="n">
        <v>3</v>
      </c>
      <c r="F34" s="35" t="n">
        <v>0</v>
      </c>
      <c r="G34" s="36" t="n">
        <v>7.7</v>
      </c>
      <c r="H34" s="36" t="n">
        <v>2.7</v>
      </c>
      <c r="I34" s="35" t="n">
        <v>3</v>
      </c>
      <c r="J34" s="35" t="n">
        <v>0</v>
      </c>
    </row>
    <row r="35" ht="20.1" customHeight="1" s="43">
      <c r="A35" s="34" t="n">
        <v>45777.16666666666</v>
      </c>
      <c r="B35" s="35" t="n">
        <v>426</v>
      </c>
      <c r="C35" s="35" t="n">
        <v>929</v>
      </c>
      <c r="D35" s="35" t="n">
        <v>76</v>
      </c>
      <c r="E35" s="35" t="n">
        <v>3</v>
      </c>
      <c r="F35" s="35" t="n">
        <v>1</v>
      </c>
      <c r="G35" s="36" t="n">
        <v>8.1</v>
      </c>
      <c r="H35" s="36" t="n">
        <v>3.2</v>
      </c>
      <c r="I35" s="35" t="n">
        <v>11</v>
      </c>
      <c r="J35" s="35" t="n">
        <v>1</v>
      </c>
    </row>
    <row r="36" ht="20" customHeight="1" s="43">
      <c r="A36" s="57" t="n">
        <v>45777.20833333334</v>
      </c>
      <c r="B36" s="55" t="n">
        <v>221</v>
      </c>
      <c r="C36" s="55" t="n">
        <v>1519</v>
      </c>
      <c r="D36" s="55" t="n">
        <v>22</v>
      </c>
      <c r="E36" s="55" t="n">
        <v>7</v>
      </c>
      <c r="F36" s="55" t="n">
        <v>0</v>
      </c>
      <c r="G36" s="56" t="n">
        <v>18.2</v>
      </c>
      <c r="H36" s="56" t="n">
        <v>6.1</v>
      </c>
      <c r="I36" s="55" t="n">
        <v>9</v>
      </c>
      <c r="J36" s="55" t="n">
        <v>0</v>
      </c>
    </row>
    <row r="37" ht="20" customHeight="1" s="43">
      <c r="A37" s="57" t="n">
        <v>45777.25</v>
      </c>
      <c r="B37" s="55" t="n">
        <v>358</v>
      </c>
      <c r="C37" s="55" t="n">
        <v>3122</v>
      </c>
      <c r="D37" s="55" t="n">
        <v>45</v>
      </c>
      <c r="E37" s="55" t="n">
        <v>14</v>
      </c>
      <c r="F37" s="55" t="n">
        <v>1</v>
      </c>
      <c r="G37" s="56" t="n">
        <v>33.5</v>
      </c>
      <c r="H37" s="56" t="n">
        <v>13.2</v>
      </c>
      <c r="I37" s="55" t="n">
        <v>28</v>
      </c>
      <c r="J37" s="55" t="n">
        <v>0</v>
      </c>
    </row>
    <row r="38" ht="20" customHeight="1" s="43">
      <c r="A38" s="57" t="n">
        <v>45777.29166666666</v>
      </c>
      <c r="B38" s="55" t="n">
        <v>2668</v>
      </c>
      <c r="C38" s="55" t="n">
        <v>7426</v>
      </c>
      <c r="D38" s="55" t="n">
        <v>440</v>
      </c>
      <c r="E38" s="55" t="n">
        <v>25</v>
      </c>
      <c r="F38" s="55" t="n">
        <v>6</v>
      </c>
      <c r="G38" s="56" t="n">
        <v>78.8</v>
      </c>
      <c r="H38" s="56" t="n">
        <v>25.1</v>
      </c>
      <c r="I38" s="55" t="n">
        <v>51</v>
      </c>
      <c r="J38" s="55" t="n">
        <v>3</v>
      </c>
    </row>
    <row r="39" ht="20" customHeight="1" s="43">
      <c r="A39" s="57" t="n">
        <v>45777.33333333334</v>
      </c>
      <c r="B39" s="55" t="n">
        <v>1071</v>
      </c>
      <c r="C39" s="55" t="n">
        <v>7687</v>
      </c>
      <c r="D39" s="55" t="n">
        <v>110</v>
      </c>
      <c r="E39" s="55" t="n">
        <v>36</v>
      </c>
      <c r="F39" s="55" t="n">
        <v>1</v>
      </c>
      <c r="G39" s="56" t="n">
        <v>63.1</v>
      </c>
      <c r="H39" s="56" t="n">
        <v>28.4</v>
      </c>
      <c r="I39" s="55" t="n">
        <v>40</v>
      </c>
      <c r="J39" s="55" t="n">
        <v>1</v>
      </c>
    </row>
    <row r="40" ht="20" customHeight="1" s="43">
      <c r="A40" s="57" t="n">
        <v>45777.375</v>
      </c>
      <c r="B40" s="55" t="n">
        <v>927</v>
      </c>
      <c r="C40" s="55" t="n">
        <v>6636</v>
      </c>
      <c r="D40" s="55" t="n">
        <v>104</v>
      </c>
      <c r="E40" s="55" t="n">
        <v>42</v>
      </c>
      <c r="F40" s="55" t="n">
        <v>1</v>
      </c>
      <c r="G40" s="56" t="n">
        <v>98.2</v>
      </c>
      <c r="H40" s="56" t="n">
        <v>36.9</v>
      </c>
      <c r="I40" s="55" t="n">
        <v>44</v>
      </c>
      <c r="J40" s="55" t="n">
        <v>1</v>
      </c>
    </row>
    <row r="41" ht="20" customHeight="1" s="43">
      <c r="A41" s="57" t="n">
        <v>45777.41666666666</v>
      </c>
      <c r="B41" s="55" t="n">
        <v>932</v>
      </c>
      <c r="C41" s="55" t="n">
        <v>6695</v>
      </c>
      <c r="D41" s="55" t="n">
        <v>114</v>
      </c>
      <c r="E41" s="55" t="n">
        <v>34</v>
      </c>
      <c r="F41" s="55" t="n">
        <v>3</v>
      </c>
      <c r="G41" s="56" t="n">
        <v>85.09999999999999</v>
      </c>
      <c r="H41" s="56" t="n">
        <v>33</v>
      </c>
      <c r="I41" s="55" t="n">
        <v>36</v>
      </c>
      <c r="J41" s="55" t="n">
        <v>1</v>
      </c>
    </row>
    <row r="42" ht="20" customHeight="1" s="43">
      <c r="A42" s="57" t="n">
        <v>45777.45833333334</v>
      </c>
      <c r="B42" s="55" t="n">
        <v>907</v>
      </c>
      <c r="C42" s="55" t="n">
        <v>5446</v>
      </c>
      <c r="D42" s="55" t="n">
        <v>78</v>
      </c>
      <c r="E42" s="55" t="n">
        <v>38</v>
      </c>
      <c r="F42" s="55" t="n">
        <v>2</v>
      </c>
      <c r="G42" s="56" t="n">
        <v>69.59999999999999</v>
      </c>
      <c r="H42" s="56" t="n">
        <v>31.1</v>
      </c>
      <c r="I42" s="55" t="n">
        <v>51</v>
      </c>
      <c r="J42" s="55" t="n">
        <v>1</v>
      </c>
    </row>
    <row r="43" ht="20" customHeight="1" s="43">
      <c r="A43" s="57" t="n">
        <v>45777.5</v>
      </c>
      <c r="B43" s="55" t="n">
        <v>973</v>
      </c>
      <c r="C43" s="55" t="n">
        <v>30626</v>
      </c>
      <c r="D43" s="55" t="n">
        <v>155</v>
      </c>
      <c r="E43" s="55" t="n">
        <v>36</v>
      </c>
      <c r="F43" s="55" t="n">
        <v>19</v>
      </c>
      <c r="G43" s="56" t="n">
        <v>496.9</v>
      </c>
      <c r="H43" s="56" t="n">
        <v>32.3</v>
      </c>
      <c r="I43" s="55" t="n">
        <v>262</v>
      </c>
      <c r="J43" s="55" t="n">
        <v>1</v>
      </c>
    </row>
    <row r="44" ht="20" customHeight="1" s="43">
      <c r="A44" s="57" t="n">
        <v>45777.54166666666</v>
      </c>
      <c r="B44" s="55" t="n">
        <v>958</v>
      </c>
      <c r="C44" s="55" t="n">
        <v>6004</v>
      </c>
      <c r="D44" s="55" t="n">
        <v>107</v>
      </c>
      <c r="E44" s="55" t="n">
        <v>40</v>
      </c>
      <c r="F44" s="55" t="n">
        <v>1</v>
      </c>
      <c r="G44" s="56" t="n">
        <v>67.7</v>
      </c>
      <c r="H44" s="56" t="n">
        <v>36.4</v>
      </c>
      <c r="I44" s="55" t="n">
        <v>44</v>
      </c>
      <c r="J44" s="55" t="n">
        <v>2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Normal="100" workbookViewId="0">
      <selection activeCell="J16" sqref="J16"/>
    </sheetView>
  </sheetViews>
  <sheetFormatPr baseColWidth="10" defaultColWidth="8.7109375" defaultRowHeight="15"/>
  <cols>
    <col width="28" customWidth="1" style="43" min="1" max="1"/>
    <col width="22" customWidth="1" style="43" min="2" max="2"/>
    <col width="18" customWidth="1" style="43" min="3" max="3"/>
  </cols>
  <sheetData>
    <row r="1" ht="39.75" customHeight="1" s="43">
      <c r="A1" s="51" t="inlineStr">
        <is>
          <t>⚙  CONFIGURATION DES SEUILS D'ALERTE</t>
        </is>
      </c>
    </row>
    <row r="2" ht="24" customHeight="1" s="43">
      <c r="A2" s="50" t="inlineStr">
        <is>
          <t>Modifiez les seuils ci-dessous. Le script Python utilisera ces valeurs pour déclencher les alertes mail.</t>
        </is>
      </c>
    </row>
    <row r="4" ht="27.75" customHeight="1" s="43">
      <c r="A4" s="4" t="inlineStr">
        <is>
          <t>Indicateur</t>
        </is>
      </c>
      <c r="B4" s="4" t="inlineStr">
        <is>
          <t>Seuil AVERTISSEMENT</t>
        </is>
      </c>
      <c r="C4" s="4" t="inlineStr">
        <is>
          <t>Seuil CRITIQUE</t>
        </is>
      </c>
      <c r="D4" s="4" t="inlineStr">
        <is>
          <t>Fenêtre (jours)</t>
        </is>
      </c>
      <c r="E4" s="4" t="inlineStr">
        <is>
          <t>Variation max (%)</t>
        </is>
      </c>
      <c r="F4" s="4" t="inlineStr">
        <is>
          <t>Description</t>
        </is>
      </c>
    </row>
    <row r="5" ht="21.75" customHeight="1" s="43">
      <c r="A5" s="5" t="inlineStr">
        <is>
          <t>Mails reçus</t>
        </is>
      </c>
      <c r="B5" s="6" t="n">
        <v>500</v>
      </c>
      <c r="C5" s="7" t="n">
        <v>1000</v>
      </c>
      <c r="D5" s="8" t="n">
        <v>1</v>
      </c>
      <c r="E5" s="8" t="n">
        <v>150</v>
      </c>
      <c r="F5" s="8" t="inlineStr">
        <is>
          <t>Hausse = phishing campaign</t>
        </is>
      </c>
    </row>
    <row r="6" ht="21.75" customHeight="1" s="43">
      <c r="A6" s="9" t="inlineStr">
        <is>
          <t>Requêtes réseau</t>
        </is>
      </c>
      <c r="B6" s="6" t="n">
        <v>200</v>
      </c>
      <c r="C6" s="7" t="n">
        <v>500</v>
      </c>
      <c r="D6" s="10" t="n">
        <v>1</v>
      </c>
      <c r="E6" s="10" t="n">
        <v>200</v>
      </c>
      <c r="F6" s="10" t="inlineStr">
        <is>
          <t>Hausse = DDoS / scan massif</t>
        </is>
      </c>
    </row>
    <row r="7" ht="21.75" customHeight="1" s="43">
      <c r="A7" s="5" t="inlineStr">
        <is>
          <t>Tentatives de connexion</t>
        </is>
      </c>
      <c r="B7" s="6" t="n">
        <v>400</v>
      </c>
      <c r="C7" s="7" t="n">
        <v>1000</v>
      </c>
      <c r="D7" s="8" t="n">
        <v>1</v>
      </c>
      <c r="E7" s="8" t="n">
        <v>300</v>
      </c>
      <c r="F7" s="8" t="inlineStr">
        <is>
          <t>Hausse = brute-force / credential stuffing</t>
        </is>
      </c>
    </row>
    <row r="8" ht="21.75" customHeight="1" s="43">
      <c r="A8" s="9" t="inlineStr">
        <is>
          <t>Alertes IDS</t>
        </is>
      </c>
      <c r="B8" s="6" t="n">
        <v>20</v>
      </c>
      <c r="C8" s="7" t="n">
        <v>50</v>
      </c>
      <c r="D8" s="10" t="n">
        <v>1</v>
      </c>
      <c r="E8" s="10" t="n">
        <v>500</v>
      </c>
      <c r="F8" s="10" t="inlineStr">
        <is>
          <t>Hausse = intrusion active</t>
        </is>
      </c>
    </row>
    <row r="9" ht="21.75" customHeight="1" s="43">
      <c r="A9" s="5" t="inlineStr">
        <is>
          <t>Trafic entrant (MB)</t>
        </is>
      </c>
      <c r="B9" s="6" t="n">
        <v>300</v>
      </c>
      <c r="C9" s="7" t="n">
        <v>600</v>
      </c>
      <c r="D9" s="8" t="n">
        <v>1</v>
      </c>
      <c r="E9" s="8" t="n">
        <v>250</v>
      </c>
      <c r="F9" s="8" t="inlineStr">
        <is>
          <t>Hausse = exfiltration entrante / DDoS</t>
        </is>
      </c>
    </row>
    <row r="10" ht="21.75" customHeight="1" s="43">
      <c r="A10" s="9" t="inlineStr">
        <is>
          <t>Connexions refusées</t>
        </is>
      </c>
      <c r="B10" s="6" t="n">
        <v>200</v>
      </c>
      <c r="C10" s="7" t="n">
        <v>500</v>
      </c>
      <c r="D10" s="10" t="n">
        <v>1</v>
      </c>
      <c r="E10" s="10" t="n">
        <v>400</v>
      </c>
      <c r="F10" s="10" t="inlineStr">
        <is>
          <t>Hausse = scan agressif</t>
        </is>
      </c>
    </row>
    <row r="11" ht="21.75" customHeight="1" s="43">
      <c r="A11" s="5" t="inlineStr">
        <is>
          <t>Processus suspects</t>
        </is>
      </c>
      <c r="B11" s="6" t="n">
        <v>5</v>
      </c>
      <c r="C11" s="7" t="n">
        <v>10</v>
      </c>
      <c r="D11" s="8" t="n">
        <v>1</v>
      </c>
      <c r="E11" s="8" t="n">
        <v>200</v>
      </c>
      <c r="F11" s="8" t="inlineStr">
        <is>
          <t>Hausse = malware actif</t>
        </is>
      </c>
    </row>
    <row r="13" ht="31.5" customHeight="1" s="43">
      <c r="A13" s="49" t="inlineStr">
        <is>
          <t>📧  CONFIGURATION MAIL</t>
        </is>
      </c>
    </row>
    <row r="14" ht="21.75" customHeight="1" s="43">
      <c r="A14" s="11" t="inlineStr">
        <is>
          <t>SMTP Serveur</t>
        </is>
      </c>
      <c r="B14" s="12" t="inlineStr">
        <is>
          <t>smtp.gmail.com</t>
        </is>
      </c>
      <c r="C14" s="13" t="inlineStr">
        <is>
          <t>Ex: smtp.office365.com</t>
        </is>
      </c>
    </row>
    <row r="15" ht="21.75" customHeight="1" s="43">
      <c r="A15" s="11" t="inlineStr">
        <is>
          <t>SMTP Port</t>
        </is>
      </c>
      <c r="B15" s="12" t="inlineStr">
        <is>
          <t>587</t>
        </is>
      </c>
      <c r="C15" s="13" t="inlineStr">
        <is>
          <t>587 (TLS) ou 465 (SSL)</t>
        </is>
      </c>
    </row>
    <row r="16" ht="21.75" customHeight="1" s="43">
      <c r="A16" s="11" t="inlineStr">
        <is>
          <t>Expéditeur</t>
        </is>
      </c>
      <c r="B16" s="33" t="inlineStr">
        <is>
          <t>manuelkevin4real@gmail.com</t>
        </is>
      </c>
      <c r="C16" s="13" t="inlineStr">
        <is>
          <t>Adresse mail d'envoi</t>
        </is>
      </c>
    </row>
    <row r="17" ht="21.75" customHeight="1" s="43">
      <c r="A17" s="11" t="inlineStr">
        <is>
          <t>Mot de passe</t>
        </is>
      </c>
      <c r="B17" s="12" t="inlineStr">
        <is>
          <t>675909477Mk</t>
        </is>
      </c>
      <c r="C17" s="13" t="inlineStr">
        <is>
          <t>Utiliser un mot de passe d'application</t>
        </is>
      </c>
    </row>
    <row r="18" ht="21.75" customHeight="1" s="43">
      <c r="A18" s="11" t="inlineStr">
        <is>
          <t>Destinataire</t>
        </is>
      </c>
      <c r="B18" s="33" t="inlineStr">
        <is>
          <t>manuelkevinfouda@icloud.com</t>
        </is>
      </c>
      <c r="C18" s="13" t="inlineStr">
        <is>
          <t>Adresse de réception des alertes</t>
        </is>
      </c>
    </row>
    <row r="19" ht="21.75" customHeight="1" s="43">
      <c r="A19" s="11" t="inlineStr">
        <is>
          <t>Nom entreprise</t>
        </is>
      </c>
      <c r="B19" s="12" t="inlineStr">
        <is>
          <t>CyberShield Solutions</t>
        </is>
      </c>
      <c r="C19" s="13" t="inlineStr">
        <is>
          <t>Affiché dans le corps du mail</t>
        </is>
      </c>
    </row>
  </sheetData>
  <mergeCells count="3">
    <mergeCell ref="A13:F13"/>
    <mergeCell ref="A2:F2"/>
    <mergeCell ref="A1:F1"/>
  </mergeCells>
  <hyperlinks>
    <hyperlink xmlns:r="http://schemas.openxmlformats.org/officeDocument/2006/relationships" ref="B16" r:id="rId1"/>
    <hyperlink xmlns:r="http://schemas.openxmlformats.org/officeDocument/2006/relationships" ref="B18" r:id="rId2"/>
  </hyperlink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zoomScaleNormal="100" workbookViewId="0">
      <selection activeCell="C21" sqref="C21"/>
    </sheetView>
  </sheetViews>
  <sheetFormatPr baseColWidth="10" defaultColWidth="8.7109375" defaultRowHeight="15"/>
  <cols>
    <col width="26" customWidth="1" style="43" min="1" max="1"/>
    <col width="18" customWidth="1" style="43" min="2" max="2"/>
    <col width="16" customWidth="1" style="43" min="3" max="4"/>
    <col width="22" customWidth="1" style="43" min="5" max="5"/>
    <col width="20" customWidth="1" style="43" min="6" max="6"/>
    <col width="14" customWidth="1" style="43" min="7" max="12"/>
  </cols>
  <sheetData>
    <row r="1" ht="48" customHeight="1" s="43">
      <c r="A1" s="48" t="inlineStr">
        <is>
          <t>🛡  CYBERSECURITY INCIDENT RESPONSE — KPI DASHBOARD</t>
        </is>
      </c>
    </row>
    <row r="2" ht="21.75" customHeight="1" s="43">
      <c r="A2" s="42" t="inlineStr">
        <is>
          <t>Généré le 26/05/2026 23:07  |  Données : 30 derniers jours  |  Source : Données!A2:J31</t>
        </is>
      </c>
    </row>
    <row r="4" ht="19.5" customHeight="1" s="43">
      <c r="A4" s="47" t="inlineStr">
        <is>
          <t>Total Mails</t>
        </is>
      </c>
      <c r="B4" s="38" t="n"/>
      <c r="C4" s="41" t="inlineStr">
        <is>
          <t>Moy. Requêtes/j</t>
        </is>
      </c>
      <c r="D4" s="38" t="n"/>
      <c r="E4" s="44" t="inlineStr">
        <is>
          <t>Tentatives connexion</t>
        </is>
      </c>
      <c r="F4" s="38" t="n"/>
      <c r="G4" s="40" t="inlineStr">
        <is>
          <t>Alertes IDS totales</t>
        </is>
      </c>
      <c r="H4" s="38" t="n"/>
      <c r="I4" s="47" t="inlineStr">
        <is>
          <t>Trafic entrant max</t>
        </is>
      </c>
      <c r="J4" s="38" t="n"/>
      <c r="K4" s="40" t="inlineStr">
        <is>
          <t>Processus suspects</t>
        </is>
      </c>
      <c r="L4" s="38" t="n"/>
    </row>
    <row r="5" ht="36" customHeight="1" s="43">
      <c r="A5" s="39">
        <f>SUM(Données!B2:B31)</f>
        <v/>
      </c>
      <c r="B5" s="38" t="n"/>
      <c r="C5" s="39">
        <f>AVERAGE(Données!C2:C31)</f>
        <v/>
      </c>
      <c r="D5" s="38" t="n"/>
      <c r="E5" s="39">
        <f>SUM(Données!D2:D31)</f>
        <v/>
      </c>
      <c r="F5" s="38" t="n"/>
      <c r="G5" s="39">
        <f>SUM(Données!F2:F31)</f>
        <v/>
      </c>
      <c r="H5" s="38" t="n"/>
      <c r="I5" s="46">
        <f>MAX(Données!G2:G31)</f>
        <v/>
      </c>
      <c r="J5" s="38" t="n"/>
      <c r="K5" s="39">
        <f>SUM(Données!J2:J31)</f>
        <v/>
      </c>
      <c r="L5" s="38" t="n"/>
    </row>
    <row r="6" ht="18" customHeight="1" s="43">
      <c r="A6" s="37" t="inlineStr">
        <is>
          <t>Mails sur 30j</t>
        </is>
      </c>
      <c r="B6" s="38" t="n"/>
      <c r="C6" s="37" t="inlineStr">
        <is>
          <t>Requêtes réseau moy.</t>
        </is>
      </c>
      <c r="D6" s="38" t="n"/>
      <c r="E6" s="37" t="inlineStr">
        <is>
          <t>Cumul 30j</t>
        </is>
      </c>
      <c r="F6" s="38" t="n"/>
      <c r="G6" s="37" t="inlineStr">
        <is>
          <t>Intrusions détectées</t>
        </is>
      </c>
      <c r="H6" s="38" t="n"/>
      <c r="I6" s="37" t="inlineStr">
        <is>
          <t>Pic (MB) — 30j</t>
        </is>
      </c>
      <c r="J6" s="38" t="n"/>
      <c r="K6" s="37" t="inlineStr">
        <is>
          <t>Cumul détections</t>
        </is>
      </c>
      <c r="L6" s="38" t="n"/>
    </row>
    <row r="8" ht="27.75" customHeight="1" s="43">
      <c r="A8" s="45" t="inlineStr">
        <is>
          <t>STATUS DES INDICATEURS — Comparaison vs seuils Configuration</t>
        </is>
      </c>
    </row>
    <row r="9" ht="25.5" customHeight="1" s="43">
      <c r="A9" s="4" t="inlineStr">
        <is>
          <t>Indicateur</t>
        </is>
      </c>
      <c r="B9" s="4" t="inlineStr">
        <is>
          <t>Valeur J-1 (dernier)</t>
        </is>
      </c>
      <c r="C9" s="4" t="inlineStr">
        <is>
          <t>Seuil AVERT.</t>
        </is>
      </c>
      <c r="D9" s="4" t="inlineStr">
        <is>
          <t>Seuil CRIT.</t>
        </is>
      </c>
      <c r="E9" s="4" t="inlineStr">
        <is>
          <t>Statut</t>
        </is>
      </c>
      <c r="F9" s="4" t="inlineStr">
        <is>
          <t>Variation vs J-2</t>
        </is>
      </c>
    </row>
    <row r="10" ht="21.75" customHeight="1" s="43">
      <c r="A10" s="14" t="inlineStr">
        <is>
          <t>Mails reçus</t>
        </is>
      </c>
      <c r="B10" s="15" t="n">
        <v>15000</v>
      </c>
      <c r="C10" s="15">
        <f>Configuration!B5</f>
        <v/>
      </c>
      <c r="D10" s="15">
        <f>Configuration!C5</f>
        <v/>
      </c>
      <c r="E10" s="10">
        <f>IF(B10&gt;=D10,"🔴 CRITIQUE",IF(B10&gt;=C10,"🟡 AVERTISSEMENT","🟢 OK"))</f>
        <v/>
      </c>
      <c r="F10" s="16">
        <f>IF(Données!B30&gt;0,(Données!B31-Données!B30)/Données!B30,0)</f>
        <v/>
      </c>
    </row>
    <row r="11" ht="21.75" customHeight="1" s="43">
      <c r="A11" s="17" t="inlineStr">
        <is>
          <t>Requêtes réseau</t>
        </is>
      </c>
      <c r="B11" s="18">
        <f>Données!C31</f>
        <v/>
      </c>
      <c r="C11" s="18">
        <f>Configuration!B6</f>
        <v/>
      </c>
      <c r="D11" s="18">
        <f>Configuration!C6</f>
        <v/>
      </c>
      <c r="E11" s="19">
        <f>IF(B11&gt;=D11,"🔴 CRITIQUE",IF(B11&gt;=C11,"🟡 AVERTISSEMENT","🟢 OK"))</f>
        <v/>
      </c>
      <c r="F11" s="20">
        <f>IF(Données!C30&gt;0,(Données!C31-Données!C30)/Données!C30,0)</f>
        <v/>
      </c>
    </row>
    <row r="12" ht="21.75" customHeight="1" s="43">
      <c r="A12" s="14" t="inlineStr">
        <is>
          <t>Tentatives connexion</t>
        </is>
      </c>
      <c r="B12" s="15">
        <f>Données!D31</f>
        <v/>
      </c>
      <c r="C12" s="15">
        <f>Configuration!B7</f>
        <v/>
      </c>
      <c r="D12" s="15">
        <f>Configuration!C7</f>
        <v/>
      </c>
      <c r="E12" s="10">
        <f>IF(B12&gt;=D12,"🔴 CRITIQUE",IF(B12&gt;=C12,"🟡 AVERTISSEMENT","🟢 OK"))</f>
        <v/>
      </c>
      <c r="F12" s="16">
        <f>IF(Données!D30&gt;0,(Données!D31-Données!D30)/Données!D30,0)</f>
        <v/>
      </c>
    </row>
    <row r="13" ht="21.75" customHeight="1" s="43">
      <c r="A13" s="17" t="inlineStr">
        <is>
          <t>Alertes IDS</t>
        </is>
      </c>
      <c r="B13" s="18">
        <f>Données!F31</f>
        <v/>
      </c>
      <c r="C13" s="18">
        <f>Configuration!B8</f>
        <v/>
      </c>
      <c r="D13" s="18">
        <f>Configuration!C8</f>
        <v/>
      </c>
      <c r="E13" s="19">
        <f>IF(B13&gt;=D13,"🔴 CRITIQUE",IF(B13&gt;=C13,"🟡 AVERTISSEMENT","🟢 OK"))</f>
        <v/>
      </c>
      <c r="F13" s="20">
        <f>IF(Données!F30&gt;0,(Données!F31-Données!F30)/Données!F30,0)</f>
        <v/>
      </c>
    </row>
    <row r="14" ht="21.75" customHeight="1" s="43">
      <c r="A14" s="14" t="inlineStr">
        <is>
          <t>Trafic entrant (MB)</t>
        </is>
      </c>
      <c r="B14" s="15">
        <f>Données!G31</f>
        <v/>
      </c>
      <c r="C14" s="15">
        <f>Configuration!B9</f>
        <v/>
      </c>
      <c r="D14" s="15">
        <f>Configuration!C9</f>
        <v/>
      </c>
      <c r="E14" s="10">
        <f>IF(B14&gt;=D14,"🔴 CRITIQUE",IF(B14&gt;=C14,"🟡 AVERTISSEMENT","🟢 OK"))</f>
        <v/>
      </c>
      <c r="F14" s="16">
        <f>IF(Données!G30&gt;0,(Données!G31-Données!G30)/Données!G30,0)</f>
        <v/>
      </c>
    </row>
    <row r="15" ht="21.75" customHeight="1" s="43">
      <c r="A15" s="17" t="inlineStr">
        <is>
          <t>Connexions refusées</t>
        </is>
      </c>
      <c r="B15" s="18">
        <f>Données!I31</f>
        <v/>
      </c>
      <c r="C15" s="18">
        <f>Configuration!B10</f>
        <v/>
      </c>
      <c r="D15" s="18">
        <f>Configuration!C10</f>
        <v/>
      </c>
      <c r="E15" s="19">
        <f>IF(B15&gt;=D15,"🔴 CRITIQUE",IF(B15&gt;=C15,"🟡 AVERTISSEMENT","🟢 OK"))</f>
        <v/>
      </c>
      <c r="F15" s="20">
        <f>IF(Données!I30&gt;0,(Données!I31-Données!I30)/Données!I30,0)</f>
        <v/>
      </c>
    </row>
    <row r="16" ht="21.75" customHeight="1" s="43">
      <c r="A16" s="14" t="inlineStr">
        <is>
          <t>Processus suspects</t>
        </is>
      </c>
      <c r="B16" s="15">
        <f>Données!J31</f>
        <v/>
      </c>
      <c r="C16" s="15">
        <f>Configuration!B11</f>
        <v/>
      </c>
      <c r="D16" s="15">
        <f>Configuration!C11</f>
        <v/>
      </c>
      <c r="E16" s="10">
        <f>IF(B16&gt;=D16,"🔴 CRITIQUE",IF(B16&gt;=C16,"🟡 AVERTISSEMENT","🟢 OK"))</f>
        <v/>
      </c>
      <c r="F16" s="16">
        <f>IF(Données!J30&gt;0,(Données!J31-Données!J30)/Données!J30,0)</f>
        <v/>
      </c>
    </row>
  </sheetData>
  <mergeCells count="21">
    <mergeCell ref="C6:D6"/>
    <mergeCell ref="I6:J6"/>
    <mergeCell ref="C5:D5"/>
    <mergeCell ref="E5:F5"/>
    <mergeCell ref="K5:L5"/>
    <mergeCell ref="K4:L4"/>
    <mergeCell ref="A6:B6"/>
    <mergeCell ref="C4:D4"/>
    <mergeCell ref="A2:L2"/>
    <mergeCell ref="E4:F4"/>
    <mergeCell ref="A8:L8"/>
    <mergeCell ref="G6:H6"/>
    <mergeCell ref="E6:F6"/>
    <mergeCell ref="A5:B5"/>
    <mergeCell ref="G5:H5"/>
    <mergeCell ref="I5:J5"/>
    <mergeCell ref="A4:B4"/>
    <mergeCell ref="G4:H4"/>
    <mergeCell ref="I4:J4"/>
    <mergeCell ref="A1:L1"/>
    <mergeCell ref="K6:L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tabSelected="1" zoomScaleNormal="100" workbookViewId="0">
      <selection activeCell="A1" sqref="A1:G1"/>
    </sheetView>
  </sheetViews>
  <sheetFormatPr baseColWidth="10" defaultColWidth="8.7109375" defaultRowHeight="15"/>
  <cols>
    <col width="22" customWidth="1" style="43" min="1" max="1"/>
    <col width="24" customWidth="1" style="43" min="2" max="2"/>
    <col width="18" customWidth="1" style="43" min="3" max="3"/>
    <col width="16" customWidth="1" style="43" min="4" max="5"/>
    <col width="14" customWidth="1" style="43" min="6" max="6"/>
    <col width="40" customWidth="1" style="43" min="7" max="7"/>
  </cols>
  <sheetData>
    <row r="1" ht="36" customHeight="1" s="43">
      <c r="A1" s="52" t="inlineStr">
        <is>
          <t>📋  JOURNAL DES ALERTES — Historique des déclenchements</t>
        </is>
      </c>
    </row>
    <row r="2" ht="27.75" customHeight="1" s="43">
      <c r="A2" s="1" t="inlineStr">
        <is>
          <t>Horodatage</t>
        </is>
      </c>
      <c r="B2" s="1" t="inlineStr">
        <is>
          <t>Indicateur</t>
        </is>
      </c>
      <c r="C2" s="1" t="inlineStr">
        <is>
          <t>Valeur détectée</t>
        </is>
      </c>
      <c r="D2" s="1" t="inlineStr">
        <is>
          <t>Seuil dépassé</t>
        </is>
      </c>
      <c r="E2" s="1" t="inlineStr">
        <is>
          <t>Sévérité</t>
        </is>
      </c>
      <c r="F2" s="1" t="inlineStr">
        <is>
          <t>Mail envoyé</t>
        </is>
      </c>
      <c r="G2" s="1" t="inlineStr">
        <is>
          <t>Commentaire</t>
        </is>
      </c>
    </row>
    <row r="3" ht="21.75" customHeight="1" s="43">
      <c r="A3" s="21" t="n">
        <v>45768.15763888889</v>
      </c>
      <c r="B3" s="22" t="inlineStr">
        <is>
          <t>Requêtes réseau</t>
        </is>
      </c>
      <c r="C3" s="22" t="n">
        <v>32147</v>
      </c>
      <c r="D3" s="22" t="n">
        <v>25000</v>
      </c>
      <c r="E3" s="7" t="inlineStr">
        <is>
          <t>🔴 CRITIQUE</t>
        </is>
      </c>
      <c r="F3" s="22" t="inlineStr">
        <is>
          <t>✅ Oui</t>
        </is>
      </c>
      <c r="G3" s="23" t="inlineStr">
        <is>
          <t>DDoS potentiel détecté — pic anormal</t>
        </is>
      </c>
    </row>
    <row r="4" ht="21.75" customHeight="1" s="43">
      <c r="A4" s="21" t="n">
        <v>45768.15902777778</v>
      </c>
      <c r="B4" s="22" t="inlineStr">
        <is>
          <t>Mails reçus</t>
        </is>
      </c>
      <c r="C4" s="22" t="n">
        <v>4823</v>
      </c>
      <c r="D4" s="22" t="n">
        <v>3000</v>
      </c>
      <c r="E4" s="7" t="inlineStr">
        <is>
          <t>🔴 CRITIQUE</t>
        </is>
      </c>
      <c r="F4" s="22" t="inlineStr">
        <is>
          <t>✅ Oui</t>
        </is>
      </c>
      <c r="G4" s="23" t="inlineStr">
        <is>
          <t>Campagne phishing suspectée</t>
        </is>
      </c>
    </row>
    <row r="5" ht="21.75" customHeight="1" s="43">
      <c r="A5" s="21" t="n">
        <v>45768.16111111111</v>
      </c>
      <c r="B5" s="22" t="inlineStr">
        <is>
          <t>Alertes IDS</t>
        </is>
      </c>
      <c r="C5" s="22" t="n">
        <v>67</v>
      </c>
      <c r="D5" s="22" t="n">
        <v>50</v>
      </c>
      <c r="E5" s="7" t="inlineStr">
        <is>
          <t>🔴 CRITIQUE</t>
        </is>
      </c>
      <c r="F5" s="22" t="inlineStr">
        <is>
          <t>✅ Oui</t>
        </is>
      </c>
      <c r="G5" s="23" t="inlineStr">
        <is>
          <t>Intrusion active confirmée IDS</t>
        </is>
      </c>
    </row>
    <row r="6" ht="21.75" customHeight="1" s="43">
      <c r="A6" s="21" t="n">
        <v>45768.16319444445</v>
      </c>
      <c r="B6" s="22" t="inlineStr">
        <is>
          <t>Connexions refusées</t>
        </is>
      </c>
      <c r="C6" s="22" t="n">
        <v>587</v>
      </c>
      <c r="D6" s="22" t="n">
        <v>500</v>
      </c>
      <c r="E6" s="7" t="inlineStr">
        <is>
          <t>🔴 CRITIQUE</t>
        </is>
      </c>
      <c r="F6" s="22" t="inlineStr">
        <is>
          <t>✅ Oui</t>
        </is>
      </c>
      <c r="G6" s="23" t="inlineStr">
        <is>
          <t>Scan agressif simultané</t>
        </is>
      </c>
    </row>
    <row r="7" ht="21.75" customHeight="1" s="43">
      <c r="A7" s="24" t="n">
        <v>45768.19930555556</v>
      </c>
      <c r="B7" s="25" t="inlineStr">
        <is>
          <t>Requêtes réseau</t>
        </is>
      </c>
      <c r="C7" s="25" t="n">
        <v>14200</v>
      </c>
      <c r="D7" s="25" t="n">
        <v>12000</v>
      </c>
      <c r="E7" s="6" t="inlineStr">
        <is>
          <t>🟡 AVERT.</t>
        </is>
      </c>
      <c r="F7" s="25" t="inlineStr">
        <is>
          <t>✅ Oui</t>
        </is>
      </c>
      <c r="G7" s="26" t="inlineStr">
        <is>
          <t>Trafic encore élevé post-incident</t>
        </is>
      </c>
    </row>
    <row r="8">
      <c r="A8" s="29" t="n">
        <v>46168.96539224537</v>
      </c>
      <c r="B8" s="30" t="inlineStr">
        <is>
          <t>Mails reçus</t>
        </is>
      </c>
      <c r="C8" s="30" t="n">
        <v>4500</v>
      </c>
      <c r="D8" s="30" t="n">
        <v>3000</v>
      </c>
      <c r="E8" s="31" t="inlineStr">
        <is>
          <t>🔴 CRITIQUE</t>
        </is>
      </c>
      <c r="F8" s="30" t="inlineStr">
        <is>
          <t>🔇 Non (dry-run)</t>
        </is>
      </c>
      <c r="G8" s="32" t="inlineStr">
        <is>
          <t>Variation: +392.9% vs valeur précédente</t>
        </is>
      </c>
    </row>
    <row r="9">
      <c r="A9" s="29" t="n">
        <v>46168.96539224537</v>
      </c>
      <c r="B9" s="30" t="inlineStr">
        <is>
          <t>Requêtes réseau</t>
        </is>
      </c>
      <c r="C9" s="30" t="n">
        <v>28000</v>
      </c>
      <c r="D9" s="30" t="n">
        <v>25000</v>
      </c>
      <c r="E9" s="31" t="inlineStr">
        <is>
          <t>🔴 CRITIQUE</t>
        </is>
      </c>
      <c r="F9" s="30" t="inlineStr">
        <is>
          <t>🔇 Non (dry-run)</t>
        </is>
      </c>
      <c r="G9" s="32" t="inlineStr">
        <is>
          <t>Variation: +306.7% vs valeur précédente</t>
        </is>
      </c>
    </row>
    <row r="10">
      <c r="A10" s="66" t="n">
        <v>46169.49980503472</v>
      </c>
      <c r="B10" s="59" t="inlineStr">
        <is>
          <t>Mails reçus</t>
        </is>
      </c>
      <c r="C10" s="59" t="n">
        <v>2668</v>
      </c>
      <c r="D10" s="59" t="n">
        <v>1000</v>
      </c>
      <c r="E10" s="60" t="inlineStr">
        <is>
          <t>🔴 CRITIQUE</t>
        </is>
      </c>
      <c r="F10" s="59" t="inlineStr">
        <is>
          <t>🔇 Non (dry-run)</t>
        </is>
      </c>
      <c r="G10" s="61" t="inlineStr">
        <is>
          <t>Variation: +645.3% vs valeur précédente</t>
        </is>
      </c>
    </row>
    <row r="11">
      <c r="A11" s="66" t="n">
        <v>46169.49980503472</v>
      </c>
      <c r="B11" s="59" t="inlineStr">
        <is>
          <t>Requêtes réseau</t>
        </is>
      </c>
      <c r="C11" s="59" t="n">
        <v>7426</v>
      </c>
      <c r="D11" s="59" t="n">
        <v>500</v>
      </c>
      <c r="E11" s="60" t="inlineStr">
        <is>
          <t>🔴 CRITIQUE</t>
        </is>
      </c>
      <c r="F11" s="59" t="inlineStr">
        <is>
          <t>🔇 Non (dry-run)</t>
        </is>
      </c>
      <c r="G11" s="61" t="inlineStr">
        <is>
          <t>Variation: +137.9% vs valeur précédente</t>
        </is>
      </c>
    </row>
    <row r="12">
      <c r="A12" s="67" t="n">
        <v>46169.49980503472</v>
      </c>
      <c r="B12" s="63" t="inlineStr">
        <is>
          <t>Tentatives de connexion</t>
        </is>
      </c>
      <c r="C12" s="63" t="n">
        <v>440</v>
      </c>
      <c r="D12" s="63" t="n">
        <v>400</v>
      </c>
      <c r="E12" s="64" t="inlineStr">
        <is>
          <t>🟡 AVERTISSEMENT</t>
        </is>
      </c>
      <c r="F12" s="63" t="inlineStr">
        <is>
          <t>🔇 Non (dry-run)</t>
        </is>
      </c>
      <c r="G12" s="65" t="inlineStr">
        <is>
          <t>Variation: +877.8% vs valeur précédente</t>
        </is>
      </c>
    </row>
    <row r="13">
      <c r="A13" s="66" t="n">
        <v>46169.56252726852</v>
      </c>
      <c r="B13" s="59" t="inlineStr">
        <is>
          <t>Mails reçus</t>
        </is>
      </c>
      <c r="C13" s="59" t="n">
        <v>1071</v>
      </c>
      <c r="D13" s="59" t="n">
        <v>1000</v>
      </c>
      <c r="E13" s="60" t="inlineStr">
        <is>
          <t>🔴 CRITIQUE</t>
        </is>
      </c>
      <c r="F13" s="59" t="inlineStr">
        <is>
          <t>🔇 Non (dry-run)</t>
        </is>
      </c>
      <c r="G13" s="61" t="inlineStr">
        <is>
          <t>Variation: -59.9% vs valeur précédente</t>
        </is>
      </c>
    </row>
    <row r="14">
      <c r="A14" s="66" t="n">
        <v>46169.56252726852</v>
      </c>
      <c r="B14" s="59" t="inlineStr">
        <is>
          <t>Requêtes réseau</t>
        </is>
      </c>
      <c r="C14" s="59" t="n">
        <v>7687</v>
      </c>
      <c r="D14" s="59" t="n">
        <v>500</v>
      </c>
      <c r="E14" s="60" t="inlineStr">
        <is>
          <t>🔴 CRITIQUE</t>
        </is>
      </c>
      <c r="F14" s="59" t="inlineStr">
        <is>
          <t>🔇 Non (dry-run)</t>
        </is>
      </c>
      <c r="G14" s="61" t="inlineStr">
        <is>
          <t>Variation: +3.5% vs valeur précédente</t>
        </is>
      </c>
    </row>
  </sheetData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zoomScaleNormal="100" workbookViewId="0">
      <selection activeCell="A1" sqref="A1:E1"/>
    </sheetView>
  </sheetViews>
  <sheetFormatPr baseColWidth="10" defaultColWidth="8.7109375" defaultRowHeight="15"/>
  <cols>
    <col width="12" customWidth="1" style="43" min="1" max="1"/>
    <col width="30" customWidth="1" style="43" min="2" max="2"/>
    <col width="55" customWidth="1" style="43" min="3" max="3"/>
  </cols>
  <sheetData>
    <row r="1" ht="39.75" customHeight="1" s="43">
      <c r="A1" s="53" t="inlineStr">
        <is>
          <t>📊  GUIDE DE CONNEXION POWER BI</t>
        </is>
      </c>
    </row>
    <row r="3" ht="39.75" customHeight="1" s="43">
      <c r="A3" s="27" t="inlineStr">
        <is>
          <t>ÉTAPE 1</t>
        </is>
      </c>
      <c r="B3" s="28" t="inlineStr">
        <is>
          <t>Ouvrir Power BI Desktop</t>
        </is>
      </c>
      <c r="C3" s="14" t="inlineStr">
        <is>
          <t>Fichier → Obtenir des données → Classeur Excel</t>
        </is>
      </c>
    </row>
    <row r="4" ht="39.75" customHeight="1" s="43">
      <c r="A4" s="27" t="inlineStr">
        <is>
          <t>ÉTAPE 2</t>
        </is>
      </c>
      <c r="B4" s="28" t="inlineStr">
        <is>
          <t>Sélectionner ce fichier</t>
        </is>
      </c>
      <c r="C4" s="14" t="inlineStr">
        <is>
          <t>Cocher les feuilles : Données, KPI Dashboard, Configuration</t>
        </is>
      </c>
    </row>
    <row r="5" ht="39.75" customHeight="1" s="43">
      <c r="A5" s="27" t="inlineStr">
        <is>
          <t>ÉTAPE 3</t>
        </is>
      </c>
      <c r="B5" s="28" t="inlineStr">
        <is>
          <t>Créer les visuels</t>
        </is>
      </c>
      <c r="C5" s="14" t="inlineStr">
        <is>
          <t>Voir le fichier PowerBI_Template_Guide.txt fourni</t>
        </is>
      </c>
    </row>
    <row r="6" ht="39.75" customHeight="1" s="43">
      <c r="A6" s="27" t="inlineStr">
        <is>
          <t>ÉTAPE 4</t>
        </is>
      </c>
      <c r="B6" s="28" t="inlineStr">
        <is>
          <t>Configurer l'actualisation</t>
        </is>
      </c>
      <c r="C6" s="14" t="inlineStr">
        <is>
          <t>Accueil → Actualiser → Planifier l'actualisation</t>
        </is>
      </c>
    </row>
    <row r="7" ht="39.75" customHeight="1" s="43">
      <c r="A7" s="27" t="inlineStr">
        <is>
          <t>ÉTAPE 5</t>
        </is>
      </c>
      <c r="B7" s="28" t="inlineStr">
        <is>
          <t>Publier</t>
        </is>
      </c>
      <c r="C7" s="14" t="inlineStr">
        <is>
          <t>Accueil → Publier → Sélectionner l'espace de travail</t>
        </is>
      </c>
    </row>
  </sheetData>
  <mergeCells count="1"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2026-05-26T23:07:27Z</dcterms:created>
  <dcterms:modified xsi:type="dcterms:W3CDTF">2026-05-27T12:06:27Z</dcterms:modified>
  <cp:lastModifiedBy>Manuel FOUDA</cp:lastModifiedBy>
  <cp:revision>0</cp:revision>
</cp:coreProperties>
</file>